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ZAHIRUDDIN\Downloads\"/>
    </mc:Choice>
  </mc:AlternateContent>
  <xr:revisionPtr revIDLastSave="0" documentId="13_ncr:1_{B73492B3-8EC0-43A3-8150-F06ABD2B5501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Gantt Chart PT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1" i="1" l="1"/>
  <c r="B60" i="1"/>
  <c r="B59" i="1"/>
  <c r="B62" i="1" s="1"/>
  <c r="B58" i="1"/>
</calcChain>
</file>

<file path=xl/sharedStrings.xml><?xml version="1.0" encoding="utf-8"?>
<sst xmlns="http://schemas.openxmlformats.org/spreadsheetml/2006/main" count="135" uniqueCount="76">
  <si>
    <t>GANTT CHART - PROJEK TAHUN AKHIR (PTA)</t>
  </si>
  <si>
    <t>AUTOMATIC HEADLAMP &amp; AUTOMATIC WIPER | KUMPULAN 7 | BENGKEL TEKNOLOGI AUTOMOTIF (BTA)</t>
  </si>
  <si>
    <t>Penyelia: EN. MOHD SABRI BIN MOHD NOR</t>
  </si>
  <si>
    <t>Tempoh: Julai - Disember 2026 | Cuti: September W3</t>
  </si>
  <si>
    <t>Aktiviti</t>
  </si>
  <si>
    <t>Peringkat</t>
  </si>
  <si>
    <t>JULAI</t>
  </si>
  <si>
    <t>OGOS</t>
  </si>
  <si>
    <t>SEPTEMBER</t>
  </si>
  <si>
    <t>OKTOBER</t>
  </si>
  <si>
    <t>NOVEMBER</t>
  </si>
  <si>
    <t>DISEMBER</t>
  </si>
  <si>
    <t>W1</t>
  </si>
  <si>
    <t>W2</t>
  </si>
  <si>
    <t>W3</t>
  </si>
  <si>
    <t>W4</t>
  </si>
  <si>
    <t>1. Pemilihan tajuk projek &amp; ahli kumpulan</t>
  </si>
  <si>
    <t>DIRANCANG</t>
  </si>
  <si>
    <t>CUTI  PERTENGAHAN  SEMESTER</t>
  </si>
  <si>
    <t>SEBENAR</t>
  </si>
  <si>
    <t>2. Pemilihan penyelia</t>
  </si>
  <si>
    <t>3. Menyediakan kertas cadangan</t>
  </si>
  <si>
    <t>4. Taklimat PTA</t>
  </si>
  <si>
    <t>5. Menyediakan kertas laporan Bab 1 &amp; 3</t>
  </si>
  <si>
    <t>6. Menyediakan slide pembentangan</t>
  </si>
  <si>
    <t>7. Menyediakan lukisan AutoCAD</t>
  </si>
  <si>
    <t>8. Penyemakan laporan oleh penyelia</t>
  </si>
  <si>
    <t>9. Pembentangan slide perbincangan dengan penyelia</t>
  </si>
  <si>
    <t>10. Kemaskini laporan projek</t>
  </si>
  <si>
    <t>11. Menyiapkan Laporan dan Slide Pembentangan PTA 1</t>
  </si>
  <si>
    <t>12. Pra-pembentangan PTA 1</t>
  </si>
  <si>
    <t>13. Penambahbaikan Proposal dan Slide PTA 1</t>
  </si>
  <si>
    <t>14.Pembentangan PTA 1</t>
  </si>
  <si>
    <t>HIJAU = Dirancang</t>
  </si>
  <si>
    <t>KUNING = Sebenar</t>
  </si>
  <si>
    <t>STATUS AKTIVITI</t>
  </si>
  <si>
    <t>No</t>
  </si>
  <si>
    <t>Status</t>
  </si>
  <si>
    <t>Minggu</t>
  </si>
  <si>
    <t>Pemilihan tajuk projek &amp; ahli kumpulan</t>
  </si>
  <si>
    <t>SIAP</t>
  </si>
  <si>
    <t>JULAI W1-W3</t>
  </si>
  <si>
    <t>Pemilihan penyelia</t>
  </si>
  <si>
    <t>JULAI W3</t>
  </si>
  <si>
    <t>Menyediakan kertas cadangan</t>
  </si>
  <si>
    <t>JULAI W4 - OGOS W1</t>
  </si>
  <si>
    <t>Taklimat PTA</t>
  </si>
  <si>
    <t>OGOS W1</t>
  </si>
  <si>
    <t>Menyediakan kertas laporan Bab 1 &amp; 3</t>
  </si>
  <si>
    <t>OGOS W2-W3</t>
  </si>
  <si>
    <t>Menyediakan slide pembentangan</t>
  </si>
  <si>
    <t>OGOS W3</t>
  </si>
  <si>
    <t>Menyediakan lukisan AutoCAD</t>
  </si>
  <si>
    <t>OGOS W3-W4</t>
  </si>
  <si>
    <t>Penyemakan laporan oleh penyelia</t>
  </si>
  <si>
    <t>SEPT W1</t>
  </si>
  <si>
    <t>Pembentangan slide perbincangan dengan penyelia</t>
  </si>
  <si>
    <t>Kemaskini laporan projek</t>
  </si>
  <si>
    <t>SEPT W2</t>
  </si>
  <si>
    <t>Menyiapkan Laporan dan Slide Pembentangan PTA 1</t>
  </si>
  <si>
    <t>SEPT W2, W4</t>
  </si>
  <si>
    <t>Pra-pembentangan PTA 1</t>
  </si>
  <si>
    <t>SEDANG</t>
  </si>
  <si>
    <t>OKT W1</t>
  </si>
  <si>
    <t>Penambahbaikan Proposal dan Slide PTA 1</t>
  </si>
  <si>
    <t>BELUM</t>
  </si>
  <si>
    <t>OKT W2 - NOV W4</t>
  </si>
  <si>
    <t>Pembentangan PTA 1</t>
  </si>
  <si>
    <t>DIS W1-W4</t>
  </si>
  <si>
    <t>RINGKASAN KEMAJUAN</t>
  </si>
  <si>
    <t>Jumlah Aktiviti</t>
  </si>
  <si>
    <t>Aktiviti SIAP</t>
  </si>
  <si>
    <t>Sedang dijalankan</t>
  </si>
  <si>
    <t>Belum dimulakan</t>
  </si>
  <si>
    <t>Peratus Kemajuan</t>
  </si>
  <si>
    <t>Nota: aktiviti SEDANG dikira 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</si>
</sst>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6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24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b/>
      <sz val="14"/>
      <color theme="1"/>
      <name val="Calibri"/>
      <family val="2"/>
      <charset val="1"/>
    </font>
    <font>
      <i/>
      <sz val="9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0000"/>
        <bgColor rgb="FF993300"/>
      </patternFill>
    </fill>
    <fill>
      <patternFill patternType="solid">
        <fgColor rgb="FF92D050"/>
        <bgColor rgb="FF66FF66"/>
      </patternFill>
    </fill>
    <fill>
      <patternFill patternType="solid">
        <fgColor rgb="FFFFFF00"/>
        <bgColor rgb="FFFFFF00"/>
      </patternFill>
    </fill>
    <fill>
      <patternFill patternType="solid">
        <fgColor rgb="FF66FF66"/>
        <bgColor rgb="FF92D050"/>
      </patternFill>
    </fill>
    <fill>
      <patternFill patternType="solid">
        <fgColor rgb="FFC0C0C0"/>
        <bgColor rgb="FFCCCCFF"/>
      </patternFill>
    </fill>
  </fills>
  <borders count="2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0" borderId="26" xfId="0" applyFont="1" applyBorder="1" applyAlignment="1">
      <alignment horizontal="center"/>
    </xf>
    <xf numFmtId="0" fontId="4" fillId="0" borderId="27" xfId="0" applyFont="1" applyBorder="1"/>
    <xf numFmtId="0" fontId="0" fillId="5" borderId="26" xfId="0" applyFill="1" applyBorder="1"/>
    <xf numFmtId="0" fontId="0" fillId="4" borderId="26" xfId="0" applyFill="1" applyBorder="1"/>
    <xf numFmtId="0" fontId="2" fillId="0" borderId="24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textRotation="90"/>
    </xf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9" xfId="0" applyBorder="1"/>
    <xf numFmtId="0" fontId="0" fillId="4" borderId="10" xfId="0" applyFill="1" applyBorder="1"/>
    <xf numFmtId="0" fontId="0" fillId="4" borderId="11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3" xfId="0" applyFill="1" applyBorder="1"/>
    <xf numFmtId="0" fontId="0" fillId="2" borderId="4" xfId="0" applyFill="1" applyBorder="1"/>
    <xf numFmtId="0" fontId="0" fillId="0" borderId="14" xfId="0" applyBorder="1"/>
    <xf numFmtId="0" fontId="0" fillId="5" borderId="15" xfId="0" applyFill="1" applyBorder="1"/>
    <xf numFmtId="0" fontId="0" fillId="5" borderId="16" xfId="0" applyFill="1" applyBorder="1"/>
    <xf numFmtId="0" fontId="0" fillId="2" borderId="16" xfId="0" applyFill="1" applyBorder="1"/>
    <xf numFmtId="0" fontId="0" fillId="2" borderId="17" xfId="0" applyFill="1" applyBorder="1"/>
    <xf numFmtId="0" fontId="0" fillId="2" borderId="18" xfId="0" applyFill="1" applyBorder="1"/>
    <xf numFmtId="0" fontId="0" fillId="2" borderId="6" xfId="0" applyFill="1" applyBorder="1"/>
    <xf numFmtId="0" fontId="0" fillId="2" borderId="7" xfId="0" applyFill="1" applyBorder="1"/>
    <xf numFmtId="0" fontId="0" fillId="0" borderId="19" xfId="0" applyBorder="1"/>
    <xf numFmtId="0" fontId="0" fillId="0" borderId="13" xfId="0" applyBorder="1"/>
    <xf numFmtId="0" fontId="0" fillId="4" borderId="2" xfId="0" applyFill="1" applyBorder="1"/>
    <xf numFmtId="0" fontId="0" fillId="0" borderId="20" xfId="0" applyBorder="1"/>
    <xf numFmtId="0" fontId="0" fillId="0" borderId="18" xfId="0" applyBorder="1"/>
    <xf numFmtId="0" fontId="0" fillId="5" borderId="5" xfId="0" applyFill="1" applyBorder="1"/>
    <xf numFmtId="0" fontId="0" fillId="0" borderId="21" xfId="0" applyBorder="1"/>
    <xf numFmtId="0" fontId="0" fillId="2" borderId="22" xfId="0" applyFill="1" applyBorder="1"/>
    <xf numFmtId="0" fontId="0" fillId="0" borderId="11" xfId="0" applyBorder="1"/>
    <xf numFmtId="0" fontId="0" fillId="2" borderId="10" xfId="0" applyFill="1" applyBorder="1"/>
    <xf numFmtId="0" fontId="0" fillId="2" borderId="20" xfId="0" applyFill="1" applyBorder="1"/>
    <xf numFmtId="0" fontId="0" fillId="0" borderId="6" xfId="0" applyBorder="1"/>
    <xf numFmtId="0" fontId="0" fillId="2" borderId="5" xfId="0" applyFill="1" applyBorder="1"/>
    <xf numFmtId="0" fontId="0" fillId="5" borderId="6" xfId="0" applyFill="1" applyBorder="1"/>
    <xf numFmtId="0" fontId="0" fillId="2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5" borderId="7" xfId="0" applyFill="1" applyBorder="1"/>
    <xf numFmtId="0" fontId="0" fillId="4" borderId="13" xfId="0" applyFill="1" applyBorder="1"/>
    <xf numFmtId="0" fontId="0" fillId="5" borderId="18" xfId="0" applyFill="1" applyBorder="1"/>
    <xf numFmtId="0" fontId="0" fillId="0" borderId="23" xfId="0" applyBorder="1"/>
    <xf numFmtId="0" fontId="0" fillId="0" borderId="8" xfId="0" applyBorder="1"/>
    <xf numFmtId="0" fontId="0" fillId="2" borderId="15" xfId="0" applyFill="1" applyBorder="1"/>
    <xf numFmtId="0" fontId="0" fillId="2" borderId="25" xfId="0" applyFill="1" applyBorder="1"/>
    <xf numFmtId="0" fontId="2" fillId="0" borderId="26" xfId="0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4" borderId="26" xfId="0" applyFill="1" applyBorder="1" applyAlignment="1">
      <alignment horizontal="center"/>
    </xf>
    <xf numFmtId="0" fontId="0" fillId="6" borderId="26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4" fillId="0" borderId="26" xfId="0" applyFont="1" applyBorder="1"/>
    <xf numFmtId="0" fontId="0" fillId="0" borderId="26" xfId="0" applyBorder="1"/>
    <xf numFmtId="0" fontId="2" fillId="0" borderId="26" xfId="0" applyFont="1" applyBorder="1"/>
    <xf numFmtId="9" fontId="5" fillId="0" borderId="26" xfId="0" applyNumberFormat="1" applyFont="1" applyBorder="1"/>
    <xf numFmtId="0" fontId="6" fillId="0" borderId="0" xfId="0" applyFont="1"/>
    <xf numFmtId="0" fontId="3" fillId="2" borderId="28" xfId="0" applyFont="1" applyFill="1" applyBorder="1" applyAlignment="1">
      <alignment horizontal="center" vertical="center" textRotation="90"/>
    </xf>
    <xf numFmtId="0" fontId="0" fillId="0" borderId="3" xfId="0" applyBorder="1"/>
    <xf numFmtId="0" fontId="0" fillId="0" borderId="16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66FF66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2"/>
  <sheetViews>
    <sheetView tabSelected="1" zoomScaleNormal="100" workbookViewId="0">
      <selection activeCell="B27" sqref="B27"/>
    </sheetView>
  </sheetViews>
  <sheetFormatPr defaultColWidth="8.7109375" defaultRowHeight="15" x14ac:dyDescent="0.25"/>
  <cols>
    <col min="1" max="1" width="62" customWidth="1"/>
    <col min="2" max="2" width="16" customWidth="1"/>
    <col min="3" max="3" width="7.42578125" customWidth="1"/>
    <col min="4" max="4" width="7.28515625" customWidth="1"/>
    <col min="5" max="5" width="9" customWidth="1"/>
    <col min="6" max="6" width="6.7109375" customWidth="1"/>
    <col min="7" max="7" width="8.28515625" customWidth="1"/>
    <col min="8" max="26" width="6.7109375" customWidth="1"/>
  </cols>
  <sheetData>
    <row r="1" spans="1:26" ht="21" customHeight="1" x14ac:dyDescent="0.35">
      <c r="A1" s="13" t="s">
        <v>0</v>
      </c>
    </row>
    <row r="2" spans="1:26" x14ac:dyDescent="0.25">
      <c r="A2" s="12" t="s">
        <v>1</v>
      </c>
      <c r="B2" s="12"/>
      <c r="C2" s="12"/>
      <c r="D2" s="12"/>
    </row>
    <row r="3" spans="1:26" x14ac:dyDescent="0.25">
      <c r="A3" t="s">
        <v>2</v>
      </c>
    </row>
    <row r="4" spans="1:26" x14ac:dyDescent="0.25">
      <c r="A4" s="14" t="s">
        <v>3</v>
      </c>
    </row>
    <row r="5" spans="1:26" ht="21.75" customHeight="1" x14ac:dyDescent="0.25"/>
    <row r="6" spans="1:26" ht="18" customHeight="1" x14ac:dyDescent="0.25">
      <c r="A6" s="11" t="s">
        <v>4</v>
      </c>
      <c r="B6" s="11" t="s">
        <v>5</v>
      </c>
      <c r="C6" s="10" t="s">
        <v>6</v>
      </c>
      <c r="D6" s="10"/>
      <c r="E6" s="10"/>
      <c r="F6" s="10"/>
      <c r="G6" s="9" t="s">
        <v>7</v>
      </c>
      <c r="H6" s="9"/>
      <c r="I6" s="9"/>
      <c r="J6" s="9"/>
      <c r="K6" s="9" t="s">
        <v>8</v>
      </c>
      <c r="L6" s="9"/>
      <c r="M6" s="9"/>
      <c r="N6" s="9"/>
      <c r="O6" s="9" t="s">
        <v>9</v>
      </c>
      <c r="P6" s="9"/>
      <c r="Q6" s="9"/>
      <c r="R6" s="9"/>
      <c r="S6" s="9" t="s">
        <v>10</v>
      </c>
      <c r="T6" s="9"/>
      <c r="U6" s="9"/>
      <c r="V6" s="9"/>
      <c r="W6" s="8" t="s">
        <v>11</v>
      </c>
      <c r="X6" s="8"/>
      <c r="Y6" s="8"/>
      <c r="Z6" s="8"/>
    </row>
    <row r="7" spans="1:26" ht="19.5" customHeight="1" x14ac:dyDescent="0.25">
      <c r="A7" s="11"/>
      <c r="B7" s="11"/>
      <c r="C7" s="15" t="s">
        <v>12</v>
      </c>
      <c r="D7" s="16" t="s">
        <v>13</v>
      </c>
      <c r="E7" s="16" t="s">
        <v>14</v>
      </c>
      <c r="F7" s="16" t="s">
        <v>15</v>
      </c>
      <c r="G7" s="16" t="s">
        <v>12</v>
      </c>
      <c r="H7" s="16" t="s">
        <v>13</v>
      </c>
      <c r="I7" s="16" t="s">
        <v>14</v>
      </c>
      <c r="J7" s="16" t="s">
        <v>15</v>
      </c>
      <c r="K7" s="17" t="s">
        <v>12</v>
      </c>
      <c r="L7" s="16" t="s">
        <v>13</v>
      </c>
      <c r="M7" s="16" t="s">
        <v>14</v>
      </c>
      <c r="N7" s="16" t="s">
        <v>15</v>
      </c>
      <c r="O7" s="18" t="s">
        <v>12</v>
      </c>
      <c r="P7" s="16" t="s">
        <v>13</v>
      </c>
      <c r="Q7" s="16" t="s">
        <v>14</v>
      </c>
      <c r="R7" s="16" t="s">
        <v>15</v>
      </c>
      <c r="S7" s="16" t="s">
        <v>12</v>
      </c>
      <c r="T7" s="16" t="s">
        <v>13</v>
      </c>
      <c r="U7" s="16" t="s">
        <v>14</v>
      </c>
      <c r="V7" s="16" t="s">
        <v>15</v>
      </c>
      <c r="W7" s="16" t="s">
        <v>12</v>
      </c>
      <c r="X7" s="16" t="s">
        <v>13</v>
      </c>
      <c r="Y7" s="16" t="s">
        <v>14</v>
      </c>
      <c r="Z7" s="19" t="s">
        <v>15</v>
      </c>
    </row>
    <row r="8" spans="1:26" ht="19.5" customHeight="1" x14ac:dyDescent="0.25">
      <c r="A8" s="7" t="s">
        <v>16</v>
      </c>
      <c r="B8" s="20" t="s">
        <v>17</v>
      </c>
      <c r="C8" s="21"/>
      <c r="D8" s="21"/>
      <c r="E8" s="22"/>
      <c r="F8" s="23"/>
      <c r="G8" s="23"/>
      <c r="H8" s="23"/>
      <c r="I8" s="23"/>
      <c r="J8" s="23"/>
      <c r="K8" s="23"/>
      <c r="L8" s="24"/>
      <c r="M8" s="6" t="s">
        <v>18</v>
      </c>
      <c r="N8" s="25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7"/>
    </row>
    <row r="9" spans="1:26" ht="19.5" customHeight="1" x14ac:dyDescent="0.25">
      <c r="A9" s="7"/>
      <c r="B9" s="28" t="s">
        <v>19</v>
      </c>
      <c r="C9" s="29"/>
      <c r="D9" s="29"/>
      <c r="E9" s="30"/>
      <c r="F9" s="31"/>
      <c r="G9" s="31"/>
      <c r="H9" s="31"/>
      <c r="I9" s="31"/>
      <c r="J9" s="31"/>
      <c r="K9" s="31"/>
      <c r="L9" s="32"/>
      <c r="M9" s="6"/>
      <c r="N9" s="33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5"/>
    </row>
    <row r="10" spans="1:26" ht="19.5" customHeight="1" x14ac:dyDescent="0.25">
      <c r="A10" s="11" t="s">
        <v>20</v>
      </c>
      <c r="B10" s="36" t="s">
        <v>17</v>
      </c>
      <c r="C10" s="37"/>
      <c r="D10" s="26"/>
      <c r="E10" s="38"/>
      <c r="F10" s="26"/>
      <c r="G10" s="26"/>
      <c r="H10" s="26"/>
      <c r="I10" s="26"/>
      <c r="J10" s="26"/>
      <c r="K10" s="26"/>
      <c r="L10" s="27"/>
      <c r="M10" s="6"/>
      <c r="N10" s="25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7"/>
    </row>
    <row r="11" spans="1:26" ht="19.5" customHeight="1" x14ac:dyDescent="0.25">
      <c r="A11" s="11"/>
      <c r="B11" s="39" t="s">
        <v>19</v>
      </c>
      <c r="C11" s="40"/>
      <c r="D11" s="34"/>
      <c r="E11" s="41"/>
      <c r="F11" s="34"/>
      <c r="G11" s="34"/>
      <c r="H11" s="34"/>
      <c r="I11" s="34"/>
      <c r="J11" s="34"/>
      <c r="K11" s="34"/>
      <c r="L11" s="35"/>
      <c r="M11" s="6"/>
      <c r="N11" s="33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5"/>
    </row>
    <row r="12" spans="1:26" ht="19.5" customHeight="1" x14ac:dyDescent="0.25">
      <c r="A12" s="11" t="s">
        <v>21</v>
      </c>
      <c r="B12" s="42" t="s">
        <v>17</v>
      </c>
      <c r="C12" s="43"/>
      <c r="D12" s="44"/>
      <c r="E12" s="45"/>
      <c r="F12" s="22"/>
      <c r="G12" s="22"/>
      <c r="H12" s="23"/>
      <c r="I12" s="23"/>
      <c r="J12" s="23"/>
      <c r="K12" s="23"/>
      <c r="L12" s="24"/>
      <c r="M12" s="6"/>
      <c r="N12" s="25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7"/>
    </row>
    <row r="13" spans="1:26" ht="19.5" customHeight="1" x14ac:dyDescent="0.25">
      <c r="A13" s="11"/>
      <c r="B13" s="28" t="s">
        <v>19</v>
      </c>
      <c r="C13" s="46"/>
      <c r="D13" s="47"/>
      <c r="E13" s="48"/>
      <c r="F13" s="49"/>
      <c r="G13" s="49"/>
      <c r="H13" s="34"/>
      <c r="I13" s="34"/>
      <c r="J13" s="34"/>
      <c r="K13" s="34"/>
      <c r="L13" s="35"/>
      <c r="M13" s="6"/>
      <c r="N13" s="33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5"/>
    </row>
    <row r="14" spans="1:26" ht="19.5" customHeight="1" x14ac:dyDescent="0.25">
      <c r="A14" s="11" t="s">
        <v>22</v>
      </c>
      <c r="B14" s="42" t="s">
        <v>17</v>
      </c>
      <c r="C14" s="45"/>
      <c r="D14" s="23"/>
      <c r="E14" s="23"/>
      <c r="F14" s="23"/>
      <c r="G14" s="22"/>
      <c r="H14" s="23"/>
      <c r="I14" s="23"/>
      <c r="J14" s="23"/>
      <c r="K14" s="23"/>
      <c r="L14" s="24"/>
      <c r="M14" s="6"/>
      <c r="N14" s="25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7"/>
    </row>
    <row r="15" spans="1:26" ht="19.5" customHeight="1" x14ac:dyDescent="0.25">
      <c r="A15" s="11"/>
      <c r="B15" s="28" t="s">
        <v>19</v>
      </c>
      <c r="C15" s="48"/>
      <c r="D15" s="34"/>
      <c r="E15" s="34"/>
      <c r="F15" s="34"/>
      <c r="G15" s="49"/>
      <c r="H15" s="34"/>
      <c r="I15" s="34"/>
      <c r="J15" s="34"/>
      <c r="K15" s="34"/>
      <c r="L15" s="35"/>
      <c r="M15" s="6"/>
      <c r="N15" s="33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5"/>
    </row>
    <row r="16" spans="1:26" ht="19.5" customHeight="1" x14ac:dyDescent="0.25">
      <c r="A16" s="11" t="s">
        <v>23</v>
      </c>
      <c r="B16" s="42" t="s">
        <v>17</v>
      </c>
      <c r="C16" s="50"/>
      <c r="D16" s="26"/>
      <c r="E16" s="26"/>
      <c r="F16" s="26"/>
      <c r="G16" s="26"/>
      <c r="H16" s="51"/>
      <c r="I16" s="51"/>
      <c r="J16" s="26"/>
      <c r="K16" s="26"/>
      <c r="L16" s="27"/>
      <c r="M16" s="6"/>
      <c r="N16" s="25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7"/>
    </row>
    <row r="17" spans="1:26" ht="19.5" customHeight="1" thickBot="1" x14ac:dyDescent="0.3">
      <c r="A17" s="11"/>
      <c r="B17" s="28" t="s">
        <v>19</v>
      </c>
      <c r="C17" s="58"/>
      <c r="D17" s="31"/>
      <c r="E17" s="31"/>
      <c r="F17" s="31"/>
      <c r="G17" s="31"/>
      <c r="H17" s="30"/>
      <c r="I17" s="30"/>
      <c r="J17" s="31"/>
      <c r="K17" s="31"/>
      <c r="L17" s="32"/>
      <c r="M17" s="6"/>
      <c r="N17" s="33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5"/>
    </row>
    <row r="18" spans="1:26" ht="19.5" customHeight="1" thickBot="1" x14ac:dyDescent="0.3">
      <c r="A18" s="11" t="s">
        <v>24</v>
      </c>
      <c r="B18" s="36" t="s">
        <v>17</v>
      </c>
      <c r="C18" s="25"/>
      <c r="D18" s="26"/>
      <c r="E18" s="26"/>
      <c r="F18" s="26"/>
      <c r="G18" s="26"/>
      <c r="H18" s="26"/>
      <c r="I18" s="51"/>
      <c r="J18" s="71"/>
      <c r="K18" s="71"/>
      <c r="L18" s="27"/>
      <c r="M18" s="70"/>
      <c r="N18" s="25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7"/>
    </row>
    <row r="19" spans="1:26" ht="19.5" customHeight="1" thickBot="1" x14ac:dyDescent="0.3">
      <c r="A19" s="11"/>
      <c r="B19" s="39" t="s">
        <v>19</v>
      </c>
      <c r="C19" s="59"/>
      <c r="D19" s="31"/>
      <c r="E19" s="31"/>
      <c r="F19" s="31"/>
      <c r="G19" s="31"/>
      <c r="H19" s="31"/>
      <c r="I19" s="30"/>
      <c r="J19" s="72"/>
      <c r="K19" s="72"/>
      <c r="L19" s="32"/>
      <c r="M19" s="70"/>
      <c r="N19" s="33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5"/>
    </row>
    <row r="20" spans="1:26" ht="19.5" customHeight="1" thickBot="1" x14ac:dyDescent="0.3">
      <c r="A20" s="11" t="s">
        <v>25</v>
      </c>
      <c r="B20" s="36" t="s">
        <v>17</v>
      </c>
      <c r="C20" s="25"/>
      <c r="D20" s="26"/>
      <c r="E20" s="26"/>
      <c r="F20" s="26"/>
      <c r="G20" s="26"/>
      <c r="H20" s="26"/>
      <c r="I20" s="51"/>
      <c r="J20" s="51"/>
      <c r="K20" s="26"/>
      <c r="L20" s="73"/>
      <c r="M20" s="70"/>
      <c r="N20" s="25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7"/>
    </row>
    <row r="21" spans="1:26" ht="19.5" customHeight="1" thickBot="1" x14ac:dyDescent="0.3">
      <c r="A21" s="11"/>
      <c r="B21" s="39" t="s">
        <v>19</v>
      </c>
      <c r="C21" s="33"/>
      <c r="D21" s="34"/>
      <c r="E21" s="34"/>
      <c r="F21" s="34"/>
      <c r="G21" s="34"/>
      <c r="H21" s="34"/>
      <c r="I21" s="49"/>
      <c r="J21" s="49"/>
      <c r="K21" s="34"/>
      <c r="L21" s="35"/>
      <c r="M21" s="70"/>
      <c r="N21" s="33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5"/>
    </row>
    <row r="22" spans="1:26" ht="19.5" customHeight="1" thickBot="1" x14ac:dyDescent="0.3">
      <c r="A22" s="11" t="s">
        <v>26</v>
      </c>
      <c r="B22" s="42" t="s">
        <v>17</v>
      </c>
      <c r="C22" s="45"/>
      <c r="D22" s="23"/>
      <c r="E22" s="23"/>
      <c r="F22" s="23"/>
      <c r="G22" s="23"/>
      <c r="H22" s="23"/>
      <c r="I22" s="23"/>
      <c r="J22" s="23"/>
      <c r="K22" s="22"/>
      <c r="L22" s="24"/>
      <c r="M22" s="6"/>
      <c r="N22" s="25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7"/>
    </row>
    <row r="23" spans="1:26" ht="19.5" customHeight="1" thickBot="1" x14ac:dyDescent="0.3">
      <c r="A23" s="11"/>
      <c r="B23" s="28" t="s">
        <v>19</v>
      </c>
      <c r="C23" s="48"/>
      <c r="D23" s="34"/>
      <c r="E23" s="34"/>
      <c r="F23" s="34"/>
      <c r="G23" s="34"/>
      <c r="H23" s="34"/>
      <c r="I23" s="34"/>
      <c r="J23" s="34"/>
      <c r="K23" s="49"/>
      <c r="L23" s="35"/>
      <c r="M23" s="6"/>
      <c r="N23" s="33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5"/>
    </row>
    <row r="24" spans="1:26" ht="19.5" customHeight="1" x14ac:dyDescent="0.25">
      <c r="A24" s="11" t="s">
        <v>27</v>
      </c>
      <c r="B24" s="42" t="s">
        <v>17</v>
      </c>
      <c r="C24" s="50"/>
      <c r="D24" s="26"/>
      <c r="E24" s="26"/>
      <c r="F24" s="26"/>
      <c r="G24" s="26"/>
      <c r="H24" s="26"/>
      <c r="I24" s="26"/>
      <c r="J24" s="26"/>
      <c r="K24" s="51"/>
      <c r="L24" s="27"/>
      <c r="M24" s="6"/>
      <c r="N24" s="25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7"/>
    </row>
    <row r="25" spans="1:26" ht="19.5" customHeight="1" x14ac:dyDescent="0.25">
      <c r="A25" s="11"/>
      <c r="B25" s="28" t="s">
        <v>19</v>
      </c>
      <c r="C25" s="48"/>
      <c r="D25" s="34"/>
      <c r="E25" s="34"/>
      <c r="F25" s="34"/>
      <c r="G25" s="34"/>
      <c r="H25" s="34"/>
      <c r="I25" s="34"/>
      <c r="J25" s="34"/>
      <c r="K25" s="49"/>
      <c r="L25" s="35"/>
      <c r="M25" s="6"/>
      <c r="N25" s="33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5"/>
    </row>
    <row r="26" spans="1:26" ht="19.5" customHeight="1" x14ac:dyDescent="0.25">
      <c r="A26" s="11" t="s">
        <v>28</v>
      </c>
      <c r="B26" s="42" t="s">
        <v>17</v>
      </c>
      <c r="C26" s="50"/>
      <c r="D26" s="26"/>
      <c r="E26" s="26"/>
      <c r="F26" s="26"/>
      <c r="G26" s="26"/>
      <c r="H26" s="26"/>
      <c r="I26" s="26"/>
      <c r="J26" s="26"/>
      <c r="K26" s="26"/>
      <c r="L26" s="52"/>
      <c r="M26" s="6"/>
      <c r="N26" s="25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</row>
    <row r="27" spans="1:26" ht="19.5" customHeight="1" x14ac:dyDescent="0.25">
      <c r="A27" s="11"/>
      <c r="B27" s="28" t="s">
        <v>19</v>
      </c>
      <c r="C27" s="48"/>
      <c r="D27" s="34"/>
      <c r="E27" s="34"/>
      <c r="F27" s="34"/>
      <c r="G27" s="34"/>
      <c r="H27" s="34"/>
      <c r="I27" s="34"/>
      <c r="J27" s="34"/>
      <c r="L27" s="53"/>
      <c r="M27" s="6"/>
      <c r="N27" s="33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5"/>
    </row>
    <row r="28" spans="1:26" ht="19.5" customHeight="1" x14ac:dyDescent="0.25">
      <c r="A28" s="11" t="s">
        <v>29</v>
      </c>
      <c r="B28" s="42" t="s">
        <v>17</v>
      </c>
      <c r="C28" s="50"/>
      <c r="D28" s="26"/>
      <c r="E28" s="26"/>
      <c r="F28" s="26"/>
      <c r="G28" s="26"/>
      <c r="H28" s="26"/>
      <c r="I28" s="26"/>
      <c r="J28" s="26"/>
      <c r="K28" s="26"/>
      <c r="L28" s="52"/>
      <c r="M28" s="6"/>
      <c r="N28" s="54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7"/>
    </row>
    <row r="29" spans="1:26" ht="19.5" customHeight="1" x14ac:dyDescent="0.25">
      <c r="A29" s="11"/>
      <c r="B29" s="28" t="s">
        <v>19</v>
      </c>
      <c r="C29" s="48"/>
      <c r="D29" s="34"/>
      <c r="E29" s="34"/>
      <c r="F29" s="34"/>
      <c r="G29" s="34"/>
      <c r="H29" s="34"/>
      <c r="I29" s="34"/>
      <c r="J29" s="34"/>
      <c r="K29" s="34"/>
      <c r="L29" s="53"/>
      <c r="M29" s="6"/>
      <c r="N29" s="55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5"/>
    </row>
    <row r="30" spans="1:26" ht="19.5" customHeight="1" x14ac:dyDescent="0.25">
      <c r="A30" s="11" t="s">
        <v>30</v>
      </c>
      <c r="B30" s="42" t="s">
        <v>17</v>
      </c>
      <c r="C30" s="50"/>
      <c r="D30" s="26"/>
      <c r="E30" s="26"/>
      <c r="F30" s="26"/>
      <c r="G30" s="26"/>
      <c r="H30" s="26"/>
      <c r="I30" s="26"/>
      <c r="J30" s="26"/>
      <c r="K30" s="26"/>
      <c r="L30" s="27"/>
      <c r="M30" s="6"/>
      <c r="N30" s="25"/>
      <c r="O30" s="51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7"/>
    </row>
    <row r="31" spans="1:26" ht="15.75" customHeight="1" x14ac:dyDescent="0.25">
      <c r="A31" s="11"/>
      <c r="B31" s="56" t="s">
        <v>19</v>
      </c>
      <c r="C31" s="48"/>
      <c r="D31" s="34"/>
      <c r="E31" s="34"/>
      <c r="F31" s="34"/>
      <c r="G31" s="34"/>
      <c r="H31" s="34"/>
      <c r="I31" s="34"/>
      <c r="J31" s="34"/>
      <c r="K31" s="34"/>
      <c r="L31" s="35"/>
      <c r="M31" s="6"/>
      <c r="N31" s="33"/>
      <c r="O31" s="49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5"/>
    </row>
    <row r="32" spans="1:26" ht="18" customHeight="1" x14ac:dyDescent="0.25">
      <c r="A32" s="5" t="s">
        <v>31</v>
      </c>
      <c r="B32" s="42" t="s">
        <v>17</v>
      </c>
      <c r="C32" s="50"/>
      <c r="D32" s="26"/>
      <c r="E32" s="26"/>
      <c r="F32" s="26"/>
      <c r="G32" s="26"/>
      <c r="H32" s="26"/>
      <c r="I32" s="26"/>
      <c r="J32" s="26"/>
      <c r="K32" s="26"/>
      <c r="L32" s="27"/>
      <c r="M32" s="6"/>
      <c r="N32" s="25"/>
      <c r="O32" s="26"/>
      <c r="P32" s="51"/>
      <c r="Q32" s="51"/>
      <c r="R32" s="51"/>
      <c r="S32" s="51"/>
      <c r="T32" s="51"/>
      <c r="U32" s="51"/>
      <c r="V32" s="51"/>
      <c r="W32" s="26"/>
      <c r="X32" s="26"/>
      <c r="Y32" s="26"/>
      <c r="Z32" s="27"/>
    </row>
    <row r="33" spans="1:26" ht="15.75" customHeight="1" x14ac:dyDescent="0.25">
      <c r="A33" s="5"/>
      <c r="B33" s="57" t="s">
        <v>19</v>
      </c>
      <c r="C33" s="58"/>
      <c r="D33" s="31"/>
      <c r="E33" s="31"/>
      <c r="F33" s="31"/>
      <c r="G33" s="31"/>
      <c r="H33" s="31"/>
      <c r="I33" s="31"/>
      <c r="J33" s="31"/>
      <c r="K33" s="31"/>
      <c r="L33" s="32"/>
      <c r="M33" s="6"/>
      <c r="N33" s="59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2"/>
    </row>
    <row r="34" spans="1:26" x14ac:dyDescent="0.25">
      <c r="A34" s="11" t="s">
        <v>32</v>
      </c>
      <c r="B34" s="20" t="s">
        <v>17</v>
      </c>
      <c r="C34" s="25"/>
      <c r="D34" s="26"/>
      <c r="E34" s="26"/>
      <c r="F34" s="26"/>
      <c r="G34" s="26"/>
      <c r="H34" s="26"/>
      <c r="I34" s="26"/>
      <c r="J34" s="26"/>
      <c r="K34" s="26"/>
      <c r="L34" s="27"/>
      <c r="M34" s="6"/>
      <c r="N34" s="25"/>
      <c r="O34" s="26"/>
      <c r="P34" s="26"/>
      <c r="Q34" s="26"/>
      <c r="R34" s="26"/>
      <c r="S34" s="26"/>
      <c r="T34" s="26"/>
      <c r="U34" s="26"/>
      <c r="V34" s="26"/>
      <c r="W34" s="51"/>
      <c r="X34" s="51"/>
      <c r="Y34" s="51"/>
      <c r="Z34" s="52"/>
    </row>
    <row r="35" spans="1:26" ht="15.75" customHeight="1" x14ac:dyDescent="0.25">
      <c r="A35" s="11"/>
      <c r="B35" s="28" t="s">
        <v>19</v>
      </c>
      <c r="C35" s="33"/>
      <c r="D35" s="34"/>
      <c r="E35" s="34"/>
      <c r="F35" s="34"/>
      <c r="G35" s="34"/>
      <c r="H35" s="34"/>
      <c r="I35" s="34"/>
      <c r="J35" s="34"/>
      <c r="K35" s="34"/>
      <c r="L35" s="35"/>
      <c r="M35" s="6"/>
      <c r="N35" s="33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5"/>
    </row>
    <row r="36" spans="1:26" ht="21.75" customHeight="1" x14ac:dyDescent="0.25"/>
    <row r="37" spans="1:26" x14ac:dyDescent="0.25">
      <c r="A37" s="14"/>
      <c r="B37" s="4" t="s">
        <v>33</v>
      </c>
      <c r="C37" s="4"/>
    </row>
    <row r="38" spans="1:26" x14ac:dyDescent="0.25">
      <c r="B38" s="3" t="s">
        <v>34</v>
      </c>
      <c r="C38" s="3"/>
    </row>
    <row r="40" spans="1:26" ht="15" customHeight="1" x14ac:dyDescent="0.25">
      <c r="A40" s="2" t="s">
        <v>35</v>
      </c>
      <c r="B40" s="2"/>
      <c r="C40" s="2"/>
      <c r="D40" s="2"/>
      <c r="E40" s="2"/>
    </row>
    <row r="41" spans="1:26" x14ac:dyDescent="0.25">
      <c r="A41" s="60" t="s">
        <v>36</v>
      </c>
      <c r="B41" s="1" t="s">
        <v>4</v>
      </c>
      <c r="C41" s="1"/>
      <c r="D41" s="1"/>
      <c r="E41" s="1"/>
      <c r="F41" s="1"/>
      <c r="G41" s="60" t="s">
        <v>37</v>
      </c>
      <c r="H41" s="1" t="s">
        <v>38</v>
      </c>
      <c r="I41" s="1"/>
      <c r="J41" s="1"/>
    </row>
    <row r="42" spans="1:26" x14ac:dyDescent="0.25">
      <c r="A42" s="61">
        <v>1</v>
      </c>
      <c r="B42" s="1" t="s">
        <v>39</v>
      </c>
      <c r="C42" s="1"/>
      <c r="D42" s="1"/>
      <c r="E42" s="1"/>
      <c r="F42" s="1"/>
      <c r="G42" s="62" t="s">
        <v>40</v>
      </c>
      <c r="H42" s="1" t="s">
        <v>41</v>
      </c>
      <c r="I42" s="1"/>
      <c r="J42" s="1"/>
    </row>
    <row r="43" spans="1:26" x14ac:dyDescent="0.25">
      <c r="A43" s="61">
        <v>2</v>
      </c>
      <c r="B43" s="1" t="s">
        <v>42</v>
      </c>
      <c r="C43" s="1"/>
      <c r="D43" s="1"/>
      <c r="E43" s="1"/>
      <c r="F43" s="1"/>
      <c r="G43" s="62" t="s">
        <v>40</v>
      </c>
      <c r="H43" s="1" t="s">
        <v>43</v>
      </c>
      <c r="I43" s="1"/>
      <c r="J43" s="1"/>
    </row>
    <row r="44" spans="1:26" x14ac:dyDescent="0.25">
      <c r="A44" s="61">
        <v>3</v>
      </c>
      <c r="B44" s="1" t="s">
        <v>44</v>
      </c>
      <c r="C44" s="1"/>
      <c r="D44" s="1"/>
      <c r="E44" s="1"/>
      <c r="F44" s="1"/>
      <c r="G44" s="62" t="s">
        <v>40</v>
      </c>
      <c r="H44" s="1" t="s">
        <v>45</v>
      </c>
      <c r="I44" s="1"/>
      <c r="J44" s="1"/>
    </row>
    <row r="45" spans="1:26" x14ac:dyDescent="0.25">
      <c r="A45" s="61">
        <v>4</v>
      </c>
      <c r="B45" s="1" t="s">
        <v>46</v>
      </c>
      <c r="C45" s="1"/>
      <c r="D45" s="1"/>
      <c r="E45" s="1"/>
      <c r="F45" s="1"/>
      <c r="G45" s="62" t="s">
        <v>40</v>
      </c>
      <c r="H45" s="1" t="s">
        <v>47</v>
      </c>
      <c r="I45" s="1"/>
      <c r="J45" s="1"/>
    </row>
    <row r="46" spans="1:26" x14ac:dyDescent="0.25">
      <c r="A46" s="61">
        <v>5</v>
      </c>
      <c r="B46" s="1" t="s">
        <v>48</v>
      </c>
      <c r="C46" s="1"/>
      <c r="D46" s="1"/>
      <c r="E46" s="1"/>
      <c r="F46" s="1"/>
      <c r="G46" s="62" t="s">
        <v>40</v>
      </c>
      <c r="H46" s="1" t="s">
        <v>49</v>
      </c>
      <c r="I46" s="1"/>
      <c r="J46" s="1"/>
    </row>
    <row r="47" spans="1:26" x14ac:dyDescent="0.25">
      <c r="A47" s="61">
        <v>6</v>
      </c>
      <c r="B47" s="1" t="s">
        <v>50</v>
      </c>
      <c r="C47" s="1"/>
      <c r="D47" s="1"/>
      <c r="E47" s="1"/>
      <c r="F47" s="1"/>
      <c r="G47" s="62" t="s">
        <v>40</v>
      </c>
      <c r="H47" s="1" t="s">
        <v>51</v>
      </c>
      <c r="I47" s="1"/>
      <c r="J47" s="1"/>
    </row>
    <row r="48" spans="1:26" x14ac:dyDescent="0.25">
      <c r="A48" s="61">
        <v>7</v>
      </c>
      <c r="B48" s="1" t="s">
        <v>52</v>
      </c>
      <c r="C48" s="1"/>
      <c r="D48" s="1"/>
      <c r="E48" s="1"/>
      <c r="F48" s="1"/>
      <c r="G48" s="62" t="s">
        <v>40</v>
      </c>
      <c r="H48" s="1" t="s">
        <v>53</v>
      </c>
      <c r="I48" s="1"/>
      <c r="J48" s="1"/>
    </row>
    <row r="49" spans="1:10" x14ac:dyDescent="0.25">
      <c r="A49" s="61">
        <v>8</v>
      </c>
      <c r="B49" s="1" t="s">
        <v>54</v>
      </c>
      <c r="C49" s="1"/>
      <c r="D49" s="1"/>
      <c r="E49" s="1"/>
      <c r="F49" s="1"/>
      <c r="G49" s="62" t="s">
        <v>40</v>
      </c>
      <c r="H49" s="1" t="s">
        <v>55</v>
      </c>
      <c r="I49" s="1"/>
      <c r="J49" s="1"/>
    </row>
    <row r="50" spans="1:10" x14ac:dyDescent="0.25">
      <c r="A50" s="61">
        <v>9</v>
      </c>
      <c r="B50" s="1" t="s">
        <v>56</v>
      </c>
      <c r="C50" s="1"/>
      <c r="D50" s="1"/>
      <c r="E50" s="1"/>
      <c r="F50" s="1"/>
      <c r="G50" s="62" t="s">
        <v>40</v>
      </c>
      <c r="H50" s="1" t="s">
        <v>55</v>
      </c>
      <c r="I50" s="1"/>
      <c r="J50" s="1"/>
    </row>
    <row r="51" spans="1:10" x14ac:dyDescent="0.25">
      <c r="A51" s="61">
        <v>10</v>
      </c>
      <c r="B51" s="1" t="s">
        <v>57</v>
      </c>
      <c r="C51" s="1"/>
      <c r="D51" s="1"/>
      <c r="E51" s="1"/>
      <c r="F51" s="1"/>
      <c r="G51" s="62" t="s">
        <v>40</v>
      </c>
      <c r="H51" s="1" t="s">
        <v>58</v>
      </c>
      <c r="I51" s="1"/>
      <c r="J51" s="1"/>
    </row>
    <row r="52" spans="1:10" x14ac:dyDescent="0.25">
      <c r="A52" s="61">
        <v>11</v>
      </c>
      <c r="B52" s="1" t="s">
        <v>59</v>
      </c>
      <c r="C52" s="1"/>
      <c r="D52" s="1"/>
      <c r="E52" s="1"/>
      <c r="F52" s="1"/>
      <c r="G52" s="62" t="s">
        <v>40</v>
      </c>
      <c r="H52" s="1" t="s">
        <v>60</v>
      </c>
      <c r="I52" s="1"/>
      <c r="J52" s="1"/>
    </row>
    <row r="53" spans="1:10" x14ac:dyDescent="0.25">
      <c r="A53" s="61">
        <v>12</v>
      </c>
      <c r="B53" s="1" t="s">
        <v>61</v>
      </c>
      <c r="C53" s="1"/>
      <c r="D53" s="1"/>
      <c r="E53" s="1"/>
      <c r="F53" s="1"/>
      <c r="G53" s="63" t="s">
        <v>62</v>
      </c>
      <c r="H53" s="1" t="s">
        <v>63</v>
      </c>
      <c r="I53" s="1"/>
      <c r="J53" s="1"/>
    </row>
    <row r="54" spans="1:10" x14ac:dyDescent="0.25">
      <c r="A54" s="61">
        <v>13</v>
      </c>
      <c r="B54" s="1" t="s">
        <v>64</v>
      </c>
      <c r="C54" s="1"/>
      <c r="D54" s="1"/>
      <c r="E54" s="1"/>
      <c r="F54" s="1"/>
      <c r="G54" s="64" t="s">
        <v>65</v>
      </c>
      <c r="H54" s="1" t="s">
        <v>66</v>
      </c>
      <c r="I54" s="1"/>
      <c r="J54" s="1"/>
    </row>
    <row r="55" spans="1:10" ht="25.5" customHeight="1" x14ac:dyDescent="0.25">
      <c r="A55" s="61">
        <v>14</v>
      </c>
      <c r="B55" s="1" t="s">
        <v>67</v>
      </c>
      <c r="C55" s="1"/>
      <c r="D55" s="1"/>
      <c r="E55" s="1"/>
      <c r="F55" s="1"/>
      <c r="G55" s="64" t="s">
        <v>65</v>
      </c>
      <c r="H55" s="1" t="s">
        <v>68</v>
      </c>
      <c r="I55" s="1"/>
      <c r="J55" s="1"/>
    </row>
    <row r="57" spans="1:10" ht="15.75" customHeight="1" x14ac:dyDescent="0.25">
      <c r="A57" s="65" t="s">
        <v>69</v>
      </c>
      <c r="B57" s="66"/>
    </row>
    <row r="58" spans="1:10" x14ac:dyDescent="0.25">
      <c r="A58" s="66" t="s">
        <v>70</v>
      </c>
      <c r="B58" s="66">
        <f>COUNTA(B42:B55)</f>
        <v>14</v>
      </c>
    </row>
    <row r="59" spans="1:10" x14ac:dyDescent="0.25">
      <c r="A59" s="66" t="s">
        <v>71</v>
      </c>
      <c r="B59" s="66">
        <f>COUNTIF(G42:G55,"SIAP")</f>
        <v>11</v>
      </c>
    </row>
    <row r="60" spans="1:10" x14ac:dyDescent="0.25">
      <c r="A60" s="66" t="s">
        <v>72</v>
      </c>
      <c r="B60" s="66">
        <f>COUNTIF(G42:G55,"SEDANG")</f>
        <v>1</v>
      </c>
    </row>
    <row r="61" spans="1:10" x14ac:dyDescent="0.25">
      <c r="A61" s="66" t="s">
        <v>73</v>
      </c>
      <c r="B61" s="66">
        <f>COUNTIF(G42:G55,"BELUM")</f>
        <v>2</v>
      </c>
    </row>
    <row r="62" spans="1:10" ht="18.75" customHeight="1" x14ac:dyDescent="0.3">
      <c r="A62" s="67" t="s">
        <v>74</v>
      </c>
      <c r="B62" s="68">
        <f>(B59+0.5*B60)/B58</f>
        <v>0.8214285714285714</v>
      </c>
      <c r="C62" s="69" t="s">
        <v>75</v>
      </c>
    </row>
  </sheetData>
  <mergeCells count="57">
    <mergeCell ref="B55:F55"/>
    <mergeCell ref="H55:J55"/>
    <mergeCell ref="B52:F52"/>
    <mergeCell ref="H52:J52"/>
    <mergeCell ref="B53:F53"/>
    <mergeCell ref="H53:J53"/>
    <mergeCell ref="B54:F54"/>
    <mergeCell ref="H54:J54"/>
    <mergeCell ref="B49:F49"/>
    <mergeCell ref="H49:J49"/>
    <mergeCell ref="B50:F50"/>
    <mergeCell ref="H50:J50"/>
    <mergeCell ref="B51:F51"/>
    <mergeCell ref="H51:J51"/>
    <mergeCell ref="B46:F46"/>
    <mergeCell ref="H46:J46"/>
    <mergeCell ref="B47:F47"/>
    <mergeCell ref="H47:J47"/>
    <mergeCell ref="B48:F48"/>
    <mergeCell ref="H48:J48"/>
    <mergeCell ref="B43:F43"/>
    <mergeCell ref="H43:J43"/>
    <mergeCell ref="B44:F44"/>
    <mergeCell ref="H44:J44"/>
    <mergeCell ref="B45:F45"/>
    <mergeCell ref="H45:J45"/>
    <mergeCell ref="A40:E40"/>
    <mergeCell ref="B41:F41"/>
    <mergeCell ref="H41:J41"/>
    <mergeCell ref="B42:F42"/>
    <mergeCell ref="H42:J42"/>
    <mergeCell ref="A30:A31"/>
    <mergeCell ref="A32:A33"/>
    <mergeCell ref="A34:A35"/>
    <mergeCell ref="B37:C37"/>
    <mergeCell ref="B38:C38"/>
    <mergeCell ref="K6:N6"/>
    <mergeCell ref="O6:R6"/>
    <mergeCell ref="S6:V6"/>
    <mergeCell ref="W6:Z6"/>
    <mergeCell ref="A8:A9"/>
    <mergeCell ref="M8:M35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2:D2"/>
    <mergeCell ref="A6:A7"/>
    <mergeCell ref="B6:B7"/>
    <mergeCell ref="C6:F6"/>
    <mergeCell ref="G6:J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 PTA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zahiruddin 01</cp:lastModifiedBy>
  <cp:revision>0</cp:revision>
  <dcterms:created xsi:type="dcterms:W3CDTF">2026-08-13T09:48:50Z</dcterms:created>
  <dcterms:modified xsi:type="dcterms:W3CDTF">2026-10-04T03:54:11Z</dcterms:modified>
  <dc:language>en-US</dc:language>
</cp:coreProperties>
</file>